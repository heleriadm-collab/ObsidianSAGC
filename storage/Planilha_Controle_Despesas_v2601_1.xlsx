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heleri\storage\"/>
    </mc:Choice>
  </mc:AlternateContent>
  <xr:revisionPtr revIDLastSave="0" documentId="13_ncr:1_{FDD3A3EA-09FA-4358-B40D-BB18D0448151}" xr6:coauthVersionLast="47" xr6:coauthVersionMax="47" xr10:uidLastSave="{00000000-0000-0000-0000-000000000000}"/>
  <bookViews>
    <workbookView xWindow="-120" yWindow="-120" windowWidth="20730" windowHeight="11160" xr2:uid="{18AB48FE-6D0A-408B-81DD-88C3E4CE2477}"/>
  </bookViews>
  <sheets>
    <sheet name="2601" sheetId="1" r:id="rId1"/>
  </sheets>
  <definedNames>
    <definedName name="_xlnm._FilterDatabase" localSheetId="0" hidden="1">'2601'!$A$2:$I$2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  <c r="G1" i="1"/>
  <c r="F1" i="1"/>
  <c r="A1" i="1"/>
  <c r="I1" i="1"/>
  <c r="E1" i="1"/>
</calcChain>
</file>

<file path=xl/sharedStrings.xml><?xml version="1.0" encoding="utf-8"?>
<sst xmlns="http://schemas.openxmlformats.org/spreadsheetml/2006/main" count="116" uniqueCount="66">
  <si>
    <t>ID</t>
  </si>
  <si>
    <t>data</t>
  </si>
  <si>
    <t>valor</t>
  </si>
  <si>
    <t>reembolso</t>
  </si>
  <si>
    <t>origem</t>
  </si>
  <si>
    <t>necessidade</t>
  </si>
  <si>
    <t>itens</t>
  </si>
  <si>
    <t>fornecedor</t>
  </si>
  <si>
    <t>nf</t>
  </si>
  <si>
    <t>síndica</t>
  </si>
  <si>
    <t>EBAZAR.COM.BR</t>
  </si>
  <si>
    <t>20260121_Limpador Pós Obra Vodocia Remove Cimento E Rejuntes 5 Litros</t>
  </si>
  <si>
    <t>sim</t>
  </si>
  <si>
    <t>Q260121_1804 - Sobre Piso Portaria Interna - Restauração</t>
  </si>
  <si>
    <t>Mangueira De Incendio Para Hidrante Tipo 1 1.1/2
15 Metros</t>
  </si>
  <si>
    <t>SLS Suprimentos Maritimos</t>
  </si>
  <si>
    <t>Q260106_2247 Aquisição Sacos de Lixo</t>
  </si>
  <si>
    <t>NF260121_Saco De Lixo 240 Litros Preto Reforçado 115x120cm C_50un</t>
  </si>
  <si>
    <t>NF260121_Mangueira De Incêndio Para Hidrante Tipo 1 1 1_2 15m Platina</t>
  </si>
  <si>
    <t>Limpador Pós Obra Vodocia Remove Cimento E Rejuntes 5 Litros</t>
  </si>
  <si>
    <t>Saco De Lixo 240 Litros Preto Reforçado 115x120cm C_50un</t>
  </si>
  <si>
    <t>COMETA GAL ROCA</t>
  </si>
  <si>
    <t>NF260121_Material Restauração Piso Portaria Interna</t>
  </si>
  <si>
    <t>assento astra almofadado tpk;kit pintura 3pcs 1576 tigre antirrespingo;lixas diversas; espátula cabo azul hf 06cm; limpa mármore granito 1lt</t>
  </si>
  <si>
    <t>Q260121_2116 Ausência Mangueira Incêndio Hall Andar 4</t>
  </si>
  <si>
    <t>Valdeci</t>
  </si>
  <si>
    <t>cobrir férias Rogerio</t>
  </si>
  <si>
    <t>260203_Comprovante_Pgto_Valdeci_Servicos_Jan_2026</t>
  </si>
  <si>
    <t>Mercado Pago</t>
  </si>
  <si>
    <t>Q260121_2116 - mangueira</t>
  </si>
  <si>
    <t>NF260128_Voucher_MercadoPago_estorno_204reais</t>
  </si>
  <si>
    <t>feito</t>
  </si>
  <si>
    <t>não</t>
  </si>
  <si>
    <t>quando</t>
  </si>
  <si>
    <t>estorno sobre NF260121_Material Restauração Piso Portaria Interna</t>
  </si>
  <si>
    <t>Assento astra almofadado tpk;</t>
  </si>
  <si>
    <t>Q260121_2128 Tampo Vaso Sanitário Quarto Zelador</t>
  </si>
  <si>
    <t>TOTAL</t>
  </si>
  <si>
    <t>Arrumaí</t>
  </si>
  <si>
    <t>Q260209_2225 Porta Terraço Hall</t>
  </si>
  <si>
    <t>Conserto Porta Terraço Hall Cobertura</t>
  </si>
  <si>
    <t>NF260219_Recibo_Arrumaí_Conserto_Porta_Terraço_Q260209_2225</t>
  </si>
  <si>
    <t>Caiman Distribuidora</t>
  </si>
  <si>
    <t>pagto reembolso</t>
  </si>
  <si>
    <t>NF260218_Caiman_Distribuidora_Cera_Liquida_000.537.484</t>
  </si>
  <si>
    <t>Cera Liquida Pretita 2L</t>
  </si>
  <si>
    <t>Q260302_1955 Fechadura Porta Terraço Danificada</t>
  </si>
  <si>
    <t>NF260225_Trava_Trinco_Para_Porta_Cadeado_90_Em_Aço_Inox_Fecho_Anti Roubo_Prateado</t>
  </si>
  <si>
    <t>trava para porta aço inox fecho anti-roubo prateado</t>
  </si>
  <si>
    <t>Supermercado Mundial</t>
  </si>
  <si>
    <t>NF260305_Material_Limpeza_Pedido_Zelador</t>
  </si>
  <si>
    <t>2602_Atividades_Zeladoria_fev26_v1</t>
  </si>
  <si>
    <t>(1) 1x DESINF. SANOL PINHO LAVANDA 2L — R$ 5,99 — R$ 5,99 ;(2) 1x DESINF. SANOL PINHO LAVANDA 2L — R$ 5,99 — R$ 5,99 ;(3) 1x LIMPA VIDROS LIMPOL 500ML — R$ 5,99 — R$ 5,99;(4) 1x LIMPA VIDROS LIMPOL 500ML — R$ 5,99 — R$ 5,99; (5) 1x L. ROUPAS PO SURF SEMI LAVANDA 800G — R$ 8,98 — R$ 8,98; (6) 1x LUVA LIMPANO MULTIUSO VISH G REF.35220 — R$ 9,35 — R$ 9,35</t>
  </si>
  <si>
    <t>NF260309_Recibo_Arrumaí_Servico_Conserto_Porta_Alumínio</t>
  </si>
  <si>
    <t>prestação de serviços de manutenção em porta de alumínio</t>
  </si>
  <si>
    <t>Serralheria JBV</t>
  </si>
  <si>
    <t>Q260316_1323 Janela do Terraço Com Avaria</t>
  </si>
  <si>
    <t>NF260316_Massa_Vidro_Serralheria_JBV</t>
  </si>
  <si>
    <t>1Kg Massa vidro</t>
  </si>
  <si>
    <t>Q260423_2044 Retirada Lixo Acumulado - Ausência Zelador Período 1 semana</t>
  </si>
  <si>
    <t>NF260425_Serviço_Retirada_Lixo_Sr_Valdeci</t>
  </si>
  <si>
    <t>serviço retirada lixo</t>
  </si>
  <si>
    <t>Assaí Mariz Barros</t>
  </si>
  <si>
    <t>Q260512_0912 Iluminação - Troca Lâmpadas</t>
  </si>
  <si>
    <t>NF260509_Lampadas_Troca_Q260512_0912</t>
  </si>
  <si>
    <t>6xlampadas 50W + 1x lampada 12W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</si>
</sst>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 applyAlignment="1">
      <alignment horizontal="center"/>
    </xf>
    <xf numFmtId="44" fontId="2" fillId="0" borderId="0" xfId="1" applyFont="1" applyAlignment="1">
      <alignment horizontal="center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44" fontId="0" fillId="2" borderId="0" xfId="1" applyFont="1" applyFill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6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F61D-5328-424E-AC09-9079298705BC}">
  <dimension ref="A1:K17"/>
  <sheetViews>
    <sheetView tabSelected="1" zoomScale="115" zoomScaleNormal="115" workbookViewId="0">
      <pane ySplit="2" topLeftCell="A12" activePane="bottomLeft" state="frozen"/>
      <selection pane="bottomLeft" activeCell="G18" sqref="G18"/>
    </sheetView>
  </sheetViews>
  <sheetFormatPr defaultRowHeight="15" x14ac:dyDescent="0.25"/>
  <cols>
    <col min="1" max="1" width="2.85546875" style="10" customWidth="1"/>
    <col min="2" max="2" width="8.7109375" style="10" customWidth="1"/>
    <col min="3" max="3" width="12.28515625" style="10" customWidth="1"/>
    <col min="4" max="4" width="15.7109375" style="10" bestFit="1" customWidth="1"/>
    <col min="5" max="5" width="13.42578125" style="1" customWidth="1"/>
    <col min="6" max="6" width="19.5703125" style="4" customWidth="1"/>
    <col min="7" max="7" width="33.5703125" style="4" customWidth="1"/>
    <col min="8" max="8" width="23.5703125" style="4" customWidth="1"/>
    <col min="9" max="9" width="11.140625" style="5" customWidth="1"/>
  </cols>
  <sheetData>
    <row r="1" spans="1:11" x14ac:dyDescent="0.25">
      <c r="A1" s="10">
        <f>COUNTA(A3:A600)</f>
        <v>15</v>
      </c>
      <c r="D1" s="10" t="s">
        <v>37</v>
      </c>
      <c r="E1" s="8">
        <f>SUM(E3:E600)</f>
        <v>1208.9599999999998</v>
      </c>
      <c r="F1" s="5">
        <f>COUNTA(F3:F600)</f>
        <v>15</v>
      </c>
      <c r="G1" s="5">
        <f>COUNTA(G3:G600)</f>
        <v>15</v>
      </c>
      <c r="H1" s="5">
        <f>COUNTA(H3:H600)</f>
        <v>14</v>
      </c>
      <c r="I1" s="5">
        <f>COUNTIF(I3:I600,"sim")</f>
        <v>13</v>
      </c>
      <c r="J1" s="14" t="s">
        <v>43</v>
      </c>
      <c r="K1" s="14"/>
    </row>
    <row r="2" spans="1:11" s="3" customFormat="1" x14ac:dyDescent="0.25">
      <c r="A2" s="12" t="s">
        <v>0</v>
      </c>
      <c r="B2" s="12" t="s">
        <v>4</v>
      </c>
      <c r="C2" s="12" t="s">
        <v>1</v>
      </c>
      <c r="D2" s="12" t="s">
        <v>7</v>
      </c>
      <c r="E2" s="2" t="s">
        <v>2</v>
      </c>
      <c r="F2" s="6" t="s">
        <v>5</v>
      </c>
      <c r="G2" s="6" t="s">
        <v>8</v>
      </c>
      <c r="H2" s="6" t="s">
        <v>6</v>
      </c>
      <c r="I2" s="7" t="s">
        <v>3</v>
      </c>
      <c r="J2" s="3" t="s">
        <v>31</v>
      </c>
      <c r="K2" s="3" t="s">
        <v>33</v>
      </c>
    </row>
    <row r="3" spans="1:11" x14ac:dyDescent="0.25">
      <c r="A3" s="10">
        <v>1</v>
      </c>
      <c r="B3" s="10" t="s">
        <v>9</v>
      </c>
      <c r="C3" s="11">
        <v>46042</v>
      </c>
      <c r="D3" s="10" t="s">
        <v>10</v>
      </c>
      <c r="E3" s="1">
        <v>55.9</v>
      </c>
      <c r="F3" s="4" t="s">
        <v>13</v>
      </c>
      <c r="G3" s="4" t="s">
        <v>11</v>
      </c>
      <c r="H3" s="4" t="s">
        <v>19</v>
      </c>
      <c r="I3" s="5" t="s">
        <v>12</v>
      </c>
      <c r="J3" s="4" t="s">
        <v>32</v>
      </c>
    </row>
    <row r="4" spans="1:11" ht="19.5" customHeight="1" x14ac:dyDescent="0.25">
      <c r="A4" s="10">
        <v>2</v>
      </c>
      <c r="B4" s="10" t="s">
        <v>9</v>
      </c>
      <c r="C4" s="11">
        <v>46042</v>
      </c>
      <c r="D4" s="10" t="s">
        <v>10</v>
      </c>
      <c r="E4" s="1">
        <v>204</v>
      </c>
      <c r="F4" s="4" t="s">
        <v>24</v>
      </c>
      <c r="G4" s="4" t="s">
        <v>18</v>
      </c>
      <c r="H4" s="9" t="s">
        <v>14</v>
      </c>
      <c r="I4" s="5" t="s">
        <v>12</v>
      </c>
      <c r="J4" s="4" t="s">
        <v>32</v>
      </c>
    </row>
    <row r="5" spans="1:11" x14ac:dyDescent="0.25">
      <c r="A5" s="10">
        <v>3</v>
      </c>
      <c r="B5" s="10" t="s">
        <v>9</v>
      </c>
      <c r="C5" s="11">
        <v>46029</v>
      </c>
      <c r="D5" s="10" t="s">
        <v>15</v>
      </c>
      <c r="E5" s="1">
        <v>89.14</v>
      </c>
      <c r="F5" s="4" t="s">
        <v>16</v>
      </c>
      <c r="G5" s="4" t="s">
        <v>17</v>
      </c>
      <c r="H5" s="4" t="s">
        <v>20</v>
      </c>
      <c r="I5" s="5" t="s">
        <v>12</v>
      </c>
      <c r="J5" s="4" t="s">
        <v>32</v>
      </c>
    </row>
    <row r="6" spans="1:11" x14ac:dyDescent="0.25">
      <c r="A6" s="10">
        <v>4</v>
      </c>
      <c r="B6" s="10" t="s">
        <v>9</v>
      </c>
      <c r="C6" s="11">
        <v>46043</v>
      </c>
      <c r="D6" s="10" t="s">
        <v>21</v>
      </c>
      <c r="E6" s="1">
        <v>321.60000000000002</v>
      </c>
      <c r="F6" s="4" t="s">
        <v>13</v>
      </c>
      <c r="G6" s="4" t="s">
        <v>22</v>
      </c>
      <c r="H6" s="4" t="s">
        <v>23</v>
      </c>
      <c r="I6" s="5" t="s">
        <v>12</v>
      </c>
      <c r="J6" s="4" t="s">
        <v>32</v>
      </c>
    </row>
    <row r="7" spans="1:11" x14ac:dyDescent="0.25">
      <c r="A7" s="10">
        <v>5</v>
      </c>
      <c r="B7" s="10" t="s">
        <v>9</v>
      </c>
      <c r="C7" s="11">
        <v>46056</v>
      </c>
      <c r="D7" s="10" t="s">
        <v>25</v>
      </c>
      <c r="E7" s="13">
        <v>350</v>
      </c>
      <c r="F7" s="4" t="s">
        <v>26</v>
      </c>
      <c r="G7" s="4" t="s">
        <v>27</v>
      </c>
      <c r="I7" s="5" t="s">
        <v>12</v>
      </c>
      <c r="J7" s="4" t="s">
        <v>32</v>
      </c>
    </row>
    <row r="8" spans="1:11" ht="36.75" x14ac:dyDescent="0.25">
      <c r="A8" s="10">
        <v>6</v>
      </c>
      <c r="B8" s="10" t="s">
        <v>9</v>
      </c>
      <c r="C8" s="11">
        <v>46050</v>
      </c>
      <c r="D8" s="10" t="s">
        <v>28</v>
      </c>
      <c r="E8" s="1">
        <v>-204.44</v>
      </c>
      <c r="F8" s="4" t="s">
        <v>29</v>
      </c>
      <c r="G8" s="4" t="s">
        <v>30</v>
      </c>
      <c r="H8" s="9" t="s">
        <v>14</v>
      </c>
      <c r="I8" s="5" t="s">
        <v>32</v>
      </c>
      <c r="J8" s="4" t="s">
        <v>32</v>
      </c>
    </row>
    <row r="9" spans="1:11" x14ac:dyDescent="0.25">
      <c r="A9" s="10">
        <v>7</v>
      </c>
      <c r="B9" s="10" t="s">
        <v>9</v>
      </c>
      <c r="C9" s="11">
        <v>46056</v>
      </c>
      <c r="D9" s="10" t="s">
        <v>21</v>
      </c>
      <c r="E9" s="1">
        <v>-114.9</v>
      </c>
      <c r="F9" s="4" t="s">
        <v>36</v>
      </c>
      <c r="G9" s="4" t="s">
        <v>34</v>
      </c>
      <c r="H9" s="4" t="s">
        <v>35</v>
      </c>
      <c r="I9" s="5" t="s">
        <v>32</v>
      </c>
    </row>
    <row r="10" spans="1:11" x14ac:dyDescent="0.25">
      <c r="A10" s="10">
        <v>8</v>
      </c>
      <c r="B10" s="10" t="s">
        <v>9</v>
      </c>
      <c r="C10" s="11">
        <v>46072</v>
      </c>
      <c r="D10" s="10" t="s">
        <v>38</v>
      </c>
      <c r="E10" s="1">
        <v>150</v>
      </c>
      <c r="F10" s="4" t="s">
        <v>39</v>
      </c>
      <c r="G10" s="4" t="s">
        <v>41</v>
      </c>
      <c r="H10" s="4" t="s">
        <v>40</v>
      </c>
      <c r="I10" s="5" t="s">
        <v>12</v>
      </c>
      <c r="J10" s="4" t="s">
        <v>32</v>
      </c>
    </row>
    <row r="11" spans="1:11" x14ac:dyDescent="0.25">
      <c r="A11" s="10">
        <v>9</v>
      </c>
      <c r="B11" s="10" t="s">
        <v>9</v>
      </c>
      <c r="C11" s="11">
        <v>46071</v>
      </c>
      <c r="D11" s="10" t="s">
        <v>42</v>
      </c>
      <c r="E11" s="1">
        <v>28.02</v>
      </c>
      <c r="F11" s="4" t="s">
        <v>13</v>
      </c>
      <c r="G11" s="4" t="s">
        <v>44</v>
      </c>
      <c r="H11" s="4" t="s">
        <v>45</v>
      </c>
      <c r="I11" s="5" t="s">
        <v>12</v>
      </c>
      <c r="J11" s="4" t="s">
        <v>32</v>
      </c>
    </row>
    <row r="12" spans="1:11" x14ac:dyDescent="0.25">
      <c r="A12" s="10">
        <v>10</v>
      </c>
      <c r="B12" s="10" t="s">
        <v>9</v>
      </c>
      <c r="C12" s="11">
        <v>46078</v>
      </c>
      <c r="D12" s="10" t="s">
        <v>10</v>
      </c>
      <c r="E12" s="1">
        <v>34.76</v>
      </c>
      <c r="F12" s="4" t="s">
        <v>46</v>
      </c>
      <c r="G12" s="4" t="s">
        <v>47</v>
      </c>
      <c r="H12" s="4" t="s">
        <v>48</v>
      </c>
      <c r="I12" s="5" t="s">
        <v>12</v>
      </c>
      <c r="J12" s="4" t="s">
        <v>32</v>
      </c>
    </row>
    <row r="13" spans="1:11" x14ac:dyDescent="0.25">
      <c r="A13" s="10">
        <v>11</v>
      </c>
      <c r="B13" s="10" t="s">
        <v>9</v>
      </c>
      <c r="C13" s="11">
        <v>46086</v>
      </c>
      <c r="D13" s="10" t="s">
        <v>49</v>
      </c>
      <c r="E13" s="1">
        <v>42.29</v>
      </c>
      <c r="F13" s="4" t="s">
        <v>51</v>
      </c>
      <c r="G13" s="4" t="s">
        <v>50</v>
      </c>
      <c r="H13" s="4" t="s">
        <v>52</v>
      </c>
      <c r="I13" s="5" t="s">
        <v>12</v>
      </c>
      <c r="J13" s="4" t="s">
        <v>32</v>
      </c>
    </row>
    <row r="14" spans="1:11" x14ac:dyDescent="0.25">
      <c r="A14" s="10">
        <v>12</v>
      </c>
      <c r="B14" s="10" t="s">
        <v>9</v>
      </c>
      <c r="C14" s="11">
        <v>46084</v>
      </c>
      <c r="D14" s="10" t="s">
        <v>38</v>
      </c>
      <c r="E14" s="1">
        <v>51.5</v>
      </c>
      <c r="F14" s="4" t="s">
        <v>46</v>
      </c>
      <c r="G14" s="4" t="s">
        <v>53</v>
      </c>
      <c r="H14" s="4" t="s">
        <v>54</v>
      </c>
      <c r="I14" s="5" t="s">
        <v>12</v>
      </c>
      <c r="J14" s="4" t="s">
        <v>32</v>
      </c>
    </row>
    <row r="15" spans="1:11" x14ac:dyDescent="0.25">
      <c r="A15" s="10">
        <v>13</v>
      </c>
      <c r="B15" s="10" t="s">
        <v>9</v>
      </c>
      <c r="C15" s="11">
        <v>46092</v>
      </c>
      <c r="D15" s="10" t="s">
        <v>55</v>
      </c>
      <c r="E15" s="1">
        <v>10</v>
      </c>
      <c r="F15" s="4" t="s">
        <v>56</v>
      </c>
      <c r="G15" s="4" t="s">
        <v>57</v>
      </c>
      <c r="H15" s="4" t="s">
        <v>58</v>
      </c>
      <c r="I15" s="5" t="s">
        <v>12</v>
      </c>
      <c r="J15" s="4" t="s">
        <v>32</v>
      </c>
    </row>
    <row r="16" spans="1:11" x14ac:dyDescent="0.25">
      <c r="A16" s="10">
        <v>14</v>
      </c>
      <c r="B16" s="10" t="s">
        <v>9</v>
      </c>
      <c r="C16" s="11">
        <v>46137</v>
      </c>
      <c r="D16" s="10" t="s">
        <v>25</v>
      </c>
      <c r="E16" s="13">
        <v>50</v>
      </c>
      <c r="F16" s="4" t="s">
        <v>59</v>
      </c>
      <c r="G16" s="4" t="s">
        <v>60</v>
      </c>
      <c r="H16" s="4" t="s">
        <v>61</v>
      </c>
      <c r="I16" s="5" t="s">
        <v>12</v>
      </c>
      <c r="J16" s="4" t="s">
        <v>32</v>
      </c>
    </row>
    <row r="17" spans="1:10" x14ac:dyDescent="0.25">
      <c r="A17" s="10">
        <v>15</v>
      </c>
      <c r="B17" s="10" t="s">
        <v>9</v>
      </c>
      <c r="C17" s="11">
        <v>46151</v>
      </c>
      <c r="D17" s="10" t="s">
        <v>62</v>
      </c>
      <c r="E17" s="1">
        <v>141.09</v>
      </c>
      <c r="F17" s="4" t="s">
        <v>63</v>
      </c>
      <c r="G17" s="4" t="s">
        <v>64</v>
      </c>
      <c r="H17" s="4" t="s">
        <v>65</v>
      </c>
      <c r="I17" s="5" t="s">
        <v>12</v>
      </c>
      <c r="J17" s="4" t="s">
        <v>32</v>
      </c>
    </row>
  </sheetData>
  <autoFilter ref="A2:I2" xr:uid="{CE75F61D-5328-424E-AC09-9079298705BC}"/>
  <mergeCells count="1">
    <mergeCell ref="J1:K1"/>
  </mergeCells>
  <conditionalFormatting sqref="E1:E1048576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Souza Conrado de Santana</dc:creator>
  <cp:lastModifiedBy>Leonardo Souza Conrado de Santana</cp:lastModifiedBy>
  <dcterms:created xsi:type="dcterms:W3CDTF">2026-01-21T21:29:40Z</dcterms:created>
  <dcterms:modified xsi:type="dcterms:W3CDTF">2026-05-12T22:15:28Z</dcterms:modified>
</cp:coreProperties>
</file>